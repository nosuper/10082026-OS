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E9">
      <text>
        <t xml:space="preserve">commission fee</t>
      </text>
    </comment>
    <comment authorId="0" ref="AF9">
      <text>
        <t xml:space="preserve">Consolidate margin</t>
      </text>
    </comment>
  </commentList>
</comments>
</file>

<file path=xl/sharedStrings.xml><?xml version="1.0" encoding="utf-8"?>
<sst xmlns="http://schemas.openxmlformats.org/spreadsheetml/2006/main" count="62" uniqueCount="59">
  <si>
    <t>DATE</t>
  </si>
  <si>
    <t xml:space="preserve">Client name: Ms. </t>
  </si>
  <si>
    <t>VALID UNTIL</t>
  </si>
  <si>
    <t>Client title:</t>
  </si>
  <si>
    <t>SENT BY</t>
  </si>
  <si>
    <t>Ms. Huong Mai</t>
  </si>
  <si>
    <t>Company name:</t>
  </si>
  <si>
    <t>INTERNAL PRICE</t>
  </si>
  <si>
    <t>MARKUP PRICE</t>
  </si>
  <si>
    <t>QUOTATION</t>
  </si>
  <si>
    <t>PROFIT</t>
  </si>
  <si>
    <t>STT</t>
  </si>
  <si>
    <t>Source</t>
  </si>
  <si>
    <t>ITEM</t>
  </si>
  <si>
    <t>DESCRIPTION</t>
  </si>
  <si>
    <t>QTY 1</t>
  </si>
  <si>
    <t>UNIT 1</t>
  </si>
  <si>
    <t>QTY 2</t>
  </si>
  <si>
    <t>UNIT 2</t>
  </si>
  <si>
    <t>UNIT PRICE 
(VND)</t>
  </si>
  <si>
    <t>SUBTOTAL 
INT NET</t>
  </si>
  <si>
    <t>Cost MF</t>
  </si>
  <si>
    <t>Cost SAU MF</t>
  </si>
  <si>
    <t>VAT/PIT</t>
  </si>
  <si>
    <t>VAT PRICE</t>
  </si>
  <si>
    <t>Chi phí tính lãi</t>
  </si>
  <si>
    <t>VAT Đầu vào</t>
  </si>
  <si>
    <t>Internal GROSS 
(+VAT)</t>
  </si>
  <si>
    <t>Break</t>
  </si>
  <si>
    <t>%MU</t>
  </si>
  <si>
    <t>Column 2</t>
  </si>
  <si>
    <t>UNIT PRICE (VND)</t>
  </si>
  <si>
    <t>TOTAL (VND)</t>
  </si>
  <si>
    <t>NOTE</t>
  </si>
  <si>
    <t>BUDGET</t>
  </si>
  <si>
    <t>MF</t>
  </si>
  <si>
    <t>SAU MF</t>
  </si>
  <si>
    <t>VAT</t>
  </si>
  <si>
    <t>SUBTOTAL</t>
  </si>
  <si>
    <t>Margin</t>
  </si>
  <si>
    <t>%Margin</t>
  </si>
  <si>
    <t xml:space="preserve">CMF </t>
  </si>
  <si>
    <t>CM</t>
  </si>
  <si>
    <t>%CM</t>
  </si>
  <si>
    <t>Aura</t>
  </si>
  <si>
    <t>PA</t>
  </si>
  <si>
    <t>person</t>
  </si>
  <si>
    <t>day</t>
  </si>
  <si>
    <t>Cá nhân</t>
  </si>
  <si>
    <t>Công Ty</t>
  </si>
  <si>
    <t>EXTERNAL PRICE</t>
  </si>
  <si>
    <t>Sub total</t>
  </si>
  <si>
    <t>Doanh thu chưa VAT</t>
  </si>
  <si>
    <t>VAT 8%</t>
  </si>
  <si>
    <t>TOTAL</t>
  </si>
  <si>
    <t>Lợi nhuận trước thuế</t>
  </si>
  <si>
    <t>TNDN</t>
  </si>
  <si>
    <t>Net profit</t>
  </si>
  <si>
    <t>VAT Phải nộp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</si>
</sst>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%"/>
    <numFmt numFmtId="165" formatCode="_(* #,##0_);_(* \(#,##0\);_(* &quot;-&quot;_);_(@_)"/>
    <numFmt numFmtId="166" formatCode="dd&quot; &quot;mmmm&quot; &quot;yyyy"/>
    <numFmt numFmtId="167" formatCode="_(* #,##0_);_(* \(#,##0\);_(* &quot;-&quot;??_);_(@_)"/>
    <numFmt numFmtId="168" formatCode="#,##0.0"/>
  </numFmts>
  <fonts count="9">
    <font>
      <sz val="10.0"/>
      <color rgb="FF000000"/>
      <name val="Arial"/>
      <scheme val="minor"/>
    </font>
    <font>
      <b/>
      <color rgb="FFFFFFFF"/>
      <name val="Barlow"/>
    </font>
    <font>
      <color theme="1"/>
      <name val="Arial"/>
    </font>
    <font/>
    <font>
      <color theme="1"/>
      <name val="Barlow"/>
    </font>
    <font>
      <b/>
      <color theme="1"/>
      <name val="Barlow"/>
    </font>
    <font>
      <color theme="1"/>
      <name val="Arial"/>
      <scheme val="minor"/>
    </font>
    <font>
      <color rgb="FF434343"/>
      <name val="Roboto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69138"/>
        <bgColor rgb="FFE69138"/>
      </patternFill>
    </fill>
    <fill>
      <patternFill patternType="solid">
        <fgColor theme="6"/>
        <bgColor theme="6"/>
      </patternFill>
    </fill>
    <fill>
      <patternFill patternType="solid">
        <fgColor theme="1"/>
        <bgColor theme="1"/>
      </patternFill>
    </fill>
    <fill>
      <patternFill patternType="solid">
        <fgColor theme="5"/>
        <bgColor theme="5"/>
      </patternFill>
    </fill>
    <fill>
      <patternFill patternType="solid">
        <fgColor rgb="FFCCD9D4"/>
        <bgColor rgb="FFCCD9D4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dotted">
        <color rgb="FFFFFFFF"/>
      </bottom>
    </border>
    <border>
      <right style="dotted">
        <color rgb="FFFFFFFF"/>
      </right>
    </border>
    <border>
      <left style="dotted">
        <color rgb="FFFFFFFF"/>
      </left>
      <right style="dotted">
        <color rgb="FFFFFFFF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shrinkToFit="0" wrapText="1"/>
    </xf>
    <xf borderId="0" fillId="0" fontId="2" numFmtId="49" xfId="0" applyFont="1" applyNumberFormat="1"/>
    <xf borderId="1" fillId="2" fontId="2" numFmtId="49" xfId="0" applyBorder="1" applyFill="1" applyFont="1" applyNumberFormat="1"/>
    <xf borderId="2" fillId="0" fontId="3" numFmtId="0" xfId="0" applyBorder="1" applyFont="1"/>
    <xf borderId="3" fillId="0" fontId="2" numFmtId="164" xfId="0" applyBorder="1" applyFont="1" applyNumberFormat="1"/>
    <xf borderId="1" fillId="0" fontId="4" numFmtId="165" xfId="0" applyAlignment="1" applyBorder="1" applyFont="1" applyNumberFormat="1">
      <alignment horizontal="right" shrinkToFit="0" wrapText="1"/>
    </xf>
    <xf borderId="3" fillId="0" fontId="4" numFmtId="166" xfId="0" applyAlignment="1" applyBorder="1" applyFont="1" applyNumberFormat="1">
      <alignment horizontal="right"/>
    </xf>
    <xf borderId="0" fillId="0" fontId="5" numFmtId="1" xfId="0" applyAlignment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0" fillId="0" fontId="2" numFmtId="10" xfId="0" applyFont="1" applyNumberFormat="1"/>
    <xf borderId="0" fillId="0" fontId="5" numFmtId="0" xfId="0" applyAlignment="1" applyFont="1">
      <alignment horizontal="center"/>
    </xf>
    <xf borderId="0" fillId="0" fontId="1" numFmtId="3" xfId="0" applyAlignment="1" applyFont="1" applyNumberFormat="1">
      <alignment horizontal="center" shrinkToFit="0" wrapText="1"/>
    </xf>
    <xf borderId="0" fillId="0" fontId="1" numFmtId="165" xfId="0" applyAlignment="1" applyFont="1" applyNumberFormat="1">
      <alignment horizontal="center" shrinkToFit="0" wrapText="1"/>
    </xf>
    <xf borderId="0" fillId="0" fontId="1" numFmtId="0" xfId="0" applyAlignment="1" applyFont="1">
      <alignment horizontal="center"/>
    </xf>
    <xf borderId="1" fillId="0" fontId="4" numFmtId="49" xfId="0" applyAlignment="1" applyBorder="1" applyFont="1" applyNumberFormat="1">
      <alignment shrinkToFit="0" wrapText="1"/>
    </xf>
    <xf borderId="3" fillId="0" fontId="4" numFmtId="165" xfId="0" applyAlignment="1" applyBorder="1" applyFont="1" applyNumberFormat="1">
      <alignment horizontal="right"/>
    </xf>
    <xf borderId="1" fillId="0" fontId="2" numFmtId="164" xfId="0" applyBorder="1" applyFont="1" applyNumberFormat="1"/>
    <xf borderId="4" fillId="0" fontId="3" numFmtId="0" xfId="0" applyBorder="1" applyFont="1"/>
    <xf borderId="3" fillId="0" fontId="2" numFmtId="3" xfId="0" applyBorder="1" applyFont="1" applyNumberFormat="1"/>
    <xf borderId="5" fillId="0" fontId="3" numFmtId="0" xfId="0" applyBorder="1" applyFont="1"/>
    <xf borderId="6" fillId="0" fontId="2" numFmtId="164" xfId="0" applyBorder="1" applyFont="1" applyNumberFormat="1"/>
    <xf borderId="7" fillId="0" fontId="2" numFmtId="164" xfId="0" applyBorder="1" applyFont="1" applyNumberFormat="1"/>
    <xf borderId="7" fillId="0" fontId="2" numFmtId="3" xfId="0" applyBorder="1" applyFont="1" applyNumberFormat="1"/>
    <xf borderId="0" fillId="0" fontId="5" numFmtId="3" xfId="0" applyAlignment="1" applyFont="1" applyNumberFormat="1">
      <alignment horizontal="center"/>
    </xf>
    <xf borderId="0" fillId="0" fontId="5" numFmtId="164" xfId="0" applyAlignment="1" applyFont="1" applyNumberFormat="1">
      <alignment horizontal="center" readingOrder="0"/>
    </xf>
    <xf borderId="8" fillId="3" fontId="1" numFmtId="49" xfId="0" applyAlignment="1" applyBorder="1" applyFill="1" applyFont="1" applyNumberFormat="1">
      <alignment horizontal="center" shrinkToFit="0" wrapText="1"/>
    </xf>
    <xf borderId="9" fillId="0" fontId="3" numFmtId="0" xfId="0" applyBorder="1" applyFont="1"/>
    <xf borderId="10" fillId="0" fontId="3" numFmtId="0" xfId="0" applyBorder="1" applyFont="1"/>
    <xf borderId="8" fillId="4" fontId="5" numFmtId="164" xfId="0" applyAlignment="1" applyBorder="1" applyFill="1" applyFont="1" applyNumberFormat="1">
      <alignment horizontal="center"/>
    </xf>
    <xf borderId="3" fillId="5" fontId="2" numFmtId="10" xfId="0" applyBorder="1" applyFill="1" applyFont="1" applyNumberFormat="1"/>
    <xf borderId="11" fillId="4" fontId="5" numFmtId="0" xfId="0" applyAlignment="1" applyBorder="1" applyFont="1">
      <alignment horizontal="center"/>
    </xf>
    <xf borderId="8" fillId="3" fontId="1" numFmtId="3" xfId="0" applyAlignment="1" applyBorder="1" applyFont="1" applyNumberFormat="1">
      <alignment horizontal="center" readingOrder="0" shrinkToFit="0" wrapText="1"/>
    </xf>
    <xf borderId="8" fillId="6" fontId="1" numFmtId="0" xfId="0" applyAlignment="1" applyBorder="1" applyFill="1" applyFont="1">
      <alignment horizontal="center"/>
    </xf>
    <xf borderId="9" fillId="4" fontId="5" numFmtId="0" xfId="0" applyAlignment="1" applyBorder="1" applyFont="1">
      <alignment horizontal="center" readingOrder="0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3" fillId="5" fontId="2" numFmtId="10" xfId="0" applyAlignment="1" applyBorder="1" applyFont="1" applyNumberFormat="1">
      <alignment readingOrder="0"/>
    </xf>
    <xf borderId="15" fillId="0" fontId="3" numFmtId="0" xfId="0" applyBorder="1" applyFont="1"/>
    <xf borderId="12" fillId="6" fontId="1" numFmtId="0" xfId="0" applyAlignment="1" applyBorder="1" applyFont="1">
      <alignment horizontal="center"/>
    </xf>
    <xf borderId="13" fillId="6" fontId="1" numFmtId="9" xfId="0" applyAlignment="1" applyBorder="1" applyFont="1" applyNumberFormat="1">
      <alignment horizontal="center" readingOrder="0"/>
    </xf>
    <xf borderId="13" fillId="6" fontId="1" numFmtId="0" xfId="0" applyAlignment="1" applyBorder="1" applyFont="1">
      <alignment horizontal="center"/>
    </xf>
    <xf borderId="14" fillId="6" fontId="1" numFmtId="0" xfId="0" applyAlignment="1" applyBorder="1" applyFont="1">
      <alignment horizontal="center"/>
    </xf>
    <xf borderId="13" fillId="4" fontId="5" numFmtId="0" xfId="0" applyAlignment="1" applyBorder="1" applyFont="1">
      <alignment horizontal="center" readingOrder="0"/>
    </xf>
    <xf borderId="13" fillId="4" fontId="5" numFmtId="9" xfId="0" applyAlignment="1" applyBorder="1" applyFont="1" applyNumberFormat="1">
      <alignment horizontal="center" readingOrder="0"/>
    </xf>
    <xf borderId="14" fillId="4" fontId="5" numFmtId="0" xfId="0" applyAlignment="1" applyBorder="1" applyFont="1">
      <alignment horizontal="center" readingOrder="0"/>
    </xf>
    <xf borderId="0" fillId="0" fontId="5" numFmtId="49" xfId="0" applyAlignment="1" applyFont="1" applyNumberFormat="1">
      <alignment horizontal="center" readingOrder="0" shrinkToFit="0" vertical="center" wrapText="1"/>
    </xf>
    <xf borderId="0" fillId="0" fontId="5" numFmtId="49" xfId="0" applyAlignment="1" applyFont="1" applyNumberFormat="1">
      <alignment horizontal="center" readingOrder="0" shrinkToFit="0" vertical="center" wrapText="1"/>
    </xf>
    <xf borderId="0" fillId="0" fontId="5" numFmtId="167" xfId="0" applyAlignment="1" applyFont="1" applyNumberFormat="1">
      <alignment horizontal="center" readingOrder="0" shrinkToFit="0" vertical="center" wrapText="1"/>
    </xf>
    <xf borderId="0" fillId="0" fontId="5" numFmtId="165" xfId="0" applyAlignment="1" applyFont="1" applyNumberFormat="1">
      <alignment horizontal="center" readingOrder="0" shrinkToFit="0" vertical="center" wrapText="1"/>
    </xf>
    <xf borderId="0" fillId="0" fontId="5" numFmtId="4" xfId="0" applyAlignment="1" applyFont="1" applyNumberFormat="1">
      <alignment horizontal="center" readingOrder="0" shrinkToFit="0" vertical="center" wrapText="0"/>
    </xf>
    <xf borderId="0" fillId="0" fontId="5" numFmtId="10" xfId="0" applyAlignment="1" applyFont="1" applyNumberFormat="1">
      <alignment horizontal="center" readingOrder="0" shrinkToFit="0" vertical="center" wrapText="0"/>
    </xf>
    <xf borderId="0" fillId="0" fontId="5" numFmtId="3" xfId="0" applyAlignment="1" applyFont="1" applyNumberFormat="1">
      <alignment horizontal="center" readingOrder="0" shrinkToFit="0" vertical="center" wrapText="0"/>
    </xf>
    <xf borderId="0" fillId="0" fontId="5" numFmtId="49" xfId="0" applyAlignment="1" applyFont="1" applyNumberFormat="1">
      <alignment horizontal="center" readingOrder="0" shrinkToFit="0" vertical="center" wrapText="0"/>
    </xf>
    <xf borderId="0" fillId="0" fontId="2" numFmtId="10" xfId="0" applyAlignment="1" applyFont="1" applyNumberFormat="1">
      <alignment horizontal="left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4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168" xfId="0" applyAlignment="1" applyFont="1" applyNumberFormat="1">
      <alignment readingOrder="0" shrinkToFit="0" vertical="center" wrapText="0"/>
    </xf>
    <xf borderId="0" fillId="0" fontId="6" numFmtId="3" xfId="0" applyAlignment="1" applyFont="1" applyNumberFormat="1">
      <alignment readingOrder="0" shrinkToFit="0" vertical="center" wrapText="0"/>
    </xf>
    <xf borderId="0" fillId="0" fontId="6" numFmtId="3" xfId="0" applyAlignment="1" applyFont="1" applyNumberFormat="1">
      <alignment shrinkToFit="0" vertical="center" wrapText="0"/>
    </xf>
    <xf borderId="0" fillId="0" fontId="6" numFmtId="10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3" xfId="0" applyAlignment="1" applyFont="1" applyNumberFormat="1">
      <alignment shrinkToFit="0" vertical="center" wrapText="0"/>
    </xf>
    <xf borderId="0" fillId="5" fontId="6" numFmtId="0" xfId="0" applyAlignment="1" applyFont="1">
      <alignment shrinkToFit="0" vertical="center" wrapText="0"/>
    </xf>
    <xf borderId="0" fillId="4" fontId="6" numFmtId="10" xfId="0" applyAlignment="1" applyFont="1" applyNumberFormat="1">
      <alignment readingOrder="0" shrinkToFit="0" vertical="center" wrapText="0"/>
    </xf>
    <xf borderId="0" fillId="0" fontId="6" numFmtId="10" xfId="0" applyAlignment="1" applyFont="1" applyNumberFormat="1">
      <alignment readingOrder="0" shrinkToFit="0" vertical="center" wrapText="0"/>
    </xf>
    <xf borderId="0" fillId="0" fontId="6" numFmtId="10" xfId="0" applyAlignment="1" applyFont="1" applyNumberFormat="1">
      <alignment shrinkToFit="0" vertical="center" wrapText="0"/>
    </xf>
    <xf borderId="16" fillId="7" fontId="2" numFmtId="0" xfId="0" applyAlignment="1" applyBorder="1" applyFill="1" applyFont="1">
      <alignment shrinkToFit="0" vertical="center" wrapText="0"/>
    </xf>
    <xf borderId="16" fillId="7" fontId="2" numFmtId="0" xfId="0" applyAlignment="1" applyBorder="1" applyFont="1">
      <alignment shrinkToFit="0" vertical="center" wrapText="0"/>
    </xf>
    <xf borderId="16" fillId="7" fontId="7" numFmtId="168" xfId="0" applyAlignment="1" applyBorder="1" applyFont="1" applyNumberFormat="1">
      <alignment horizontal="right" shrinkToFit="0" vertical="center" wrapText="0"/>
    </xf>
    <xf borderId="16" fillId="7" fontId="7" numFmtId="3" xfId="0" applyAlignment="1" applyBorder="1" applyFont="1" applyNumberFormat="1">
      <alignment horizontal="right" shrinkToFit="0" vertical="center" wrapText="0"/>
    </xf>
    <xf borderId="16" fillId="7" fontId="2" numFmtId="10" xfId="0" applyAlignment="1" applyBorder="1" applyFont="1" applyNumberFormat="1">
      <alignment shrinkToFit="0" vertical="center" wrapText="0"/>
    </xf>
    <xf borderId="16" fillId="7" fontId="7" numFmtId="0" xfId="0" applyAlignment="1" applyBorder="1" applyFont="1">
      <alignment shrinkToFit="0" vertical="center" wrapText="0"/>
    </xf>
    <xf borderId="16" fillId="7" fontId="7" numFmtId="10" xfId="0" applyAlignment="1" applyBorder="1" applyFont="1" applyNumberFormat="1">
      <alignment horizontal="right" shrinkToFit="0" vertical="center" wrapText="0"/>
    </xf>
    <xf borderId="0" fillId="7" fontId="2" numFmtId="0" xfId="0" applyAlignment="1" applyFont="1">
      <alignment shrinkToFit="0" vertical="center" wrapText="0"/>
    </xf>
    <xf borderId="0" fillId="7" fontId="2" numFmtId="0" xfId="0" applyAlignment="1" applyFont="1">
      <alignment shrinkToFit="0" vertical="center" wrapText="0"/>
    </xf>
    <xf borderId="0" fillId="7" fontId="7" numFmtId="168" xfId="0" applyAlignment="1" applyFont="1" applyNumberFormat="1">
      <alignment horizontal="right" shrinkToFit="0" vertical="center" wrapText="0"/>
    </xf>
    <xf borderId="0" fillId="7" fontId="7" numFmtId="3" xfId="0" applyAlignment="1" applyFont="1" applyNumberFormat="1">
      <alignment horizontal="right" shrinkToFit="0" vertical="center" wrapText="0"/>
    </xf>
    <xf borderId="0" fillId="7" fontId="2" numFmtId="10" xfId="0" applyAlignment="1" applyFont="1" applyNumberFormat="1">
      <alignment shrinkToFit="0" vertical="center" wrapText="0"/>
    </xf>
    <xf borderId="0" fillId="7" fontId="7" numFmtId="0" xfId="0" applyAlignment="1" applyFont="1">
      <alignment shrinkToFit="0" vertical="center" wrapText="0"/>
    </xf>
    <xf borderId="0" fillId="7" fontId="7" numFmtId="10" xfId="0" applyAlignment="1" applyFont="1" applyNumberFormat="1">
      <alignment horizontal="right" shrinkToFit="0" vertical="center" wrapText="0"/>
    </xf>
    <xf borderId="0" fillId="0" fontId="6" numFmtId="0" xfId="0" applyFont="1"/>
    <xf borderId="0" fillId="0" fontId="6" numFmtId="3" xfId="0" applyFont="1" applyNumberFormat="1"/>
    <xf borderId="0" fillId="0" fontId="6" numFmtId="1" xfId="0" applyFont="1" applyNumberFormat="1"/>
    <xf borderId="0" fillId="2" fontId="6" numFmtId="0" xfId="0" applyFont="1"/>
    <xf borderId="0" fillId="4" fontId="6" numFmtId="0" xfId="0" applyFont="1"/>
    <xf borderId="0" fillId="5" fontId="6" numFmtId="0" xfId="0" applyFont="1"/>
    <xf borderId="1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readingOrder="0"/>
    </xf>
    <xf borderId="3" fillId="0" fontId="5" numFmtId="3" xfId="0" applyBorder="1" applyFont="1" applyNumberFormat="1"/>
    <xf borderId="1" fillId="0" fontId="5" numFmtId="0" xfId="0" applyAlignment="1" applyBorder="1" applyFont="1">
      <alignment readingOrder="0"/>
    </xf>
    <xf borderId="3" fillId="0" fontId="5" numFmtId="10" xfId="0" applyAlignment="1" applyBorder="1" applyFont="1" applyNumberFormat="1">
      <alignment readingOrder="0"/>
    </xf>
    <xf borderId="1" fillId="0" fontId="5" numFmtId="10" xfId="0" applyAlignment="1" applyBorder="1" applyFont="1" applyNumberFormat="1">
      <alignment readingOrder="0"/>
    </xf>
    <xf borderId="3" fillId="0" fontId="8" numFmtId="3" xfId="0" applyBorder="1" applyFont="1" applyNumberFormat="1"/>
    <xf borderId="1" fillId="0" fontId="8" numFmtId="0" xfId="0" applyAlignment="1" applyBorder="1" applyFont="1">
      <alignment readingOrder="0"/>
    </xf>
    <xf borderId="0" fillId="0" fontId="6" numFmtId="9" xfId="0" applyAlignment="1" applyFont="1" applyNumberForma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9:AG12" displayName="Table1" name="Table1" id="1">
  <tableColumns count="33">
    <tableColumn name="STT" id="1"/>
    <tableColumn name="Source" id="2"/>
    <tableColumn name="ITEM" id="3"/>
    <tableColumn name="DESCRIPTION" id="4"/>
    <tableColumn name="QTY 1" id="5"/>
    <tableColumn name="UNIT 1" id="6"/>
    <tableColumn name="QTY 2" id="7"/>
    <tableColumn name="UNIT 2" id="8"/>
    <tableColumn name="UNIT PRICE _x000a_(VND)" id="9"/>
    <tableColumn name="SUBTOTAL _x000a_INT NET" id="10"/>
    <tableColumn name="Cost MF" id="11"/>
    <tableColumn name="Cost SAU MF" id="12"/>
    <tableColumn name="VAT/PIT" id="13"/>
    <tableColumn name="VAT PRICE" id="14"/>
    <tableColumn name="Chi phí tính lãi" id="15"/>
    <tableColumn name="VAT Đầu vào" id="16"/>
    <tableColumn name="Internal GROSS _x000a_(+VAT)" id="17"/>
    <tableColumn name="Break" id="18"/>
    <tableColumn name="%MU" id="19"/>
    <tableColumn name="Column 2" id="20"/>
    <tableColumn name="UNIT PRICE (VND)" id="21"/>
    <tableColumn name="TOTAL (VND)" id="22"/>
    <tableColumn name="NOTE" id="23"/>
    <tableColumn name="BUDGET" id="24"/>
    <tableColumn name="MF" id="25"/>
    <tableColumn name="SAU MF" id="26"/>
    <tableColumn name="VAT" id="27"/>
    <tableColumn name="SUBTOTAL" id="28"/>
    <tableColumn name="Margin" id="29"/>
    <tableColumn name="%Margin" id="30"/>
    <tableColumn name="CMF " id="31"/>
    <tableColumn name="CM" id="32"/>
    <tableColumn name="%CM" id="3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3" width="21.38"/>
    <col customWidth="1" min="4" max="4" width="45.0"/>
    <col customWidth="1" min="5" max="5" width="13.0"/>
    <col customWidth="1" min="7" max="7" width="13.38"/>
    <col customWidth="1" min="9" max="9" width="13.88"/>
    <col customWidth="1" min="10" max="10" width="13.38"/>
    <col customWidth="1" min="11" max="11" width="14.63"/>
    <col customWidth="1" min="12" max="12" width="14.38"/>
    <col customWidth="1" min="13" max="13" width="14.75"/>
    <col customWidth="1" min="14" max="17" width="19.88"/>
    <col customWidth="1" min="22" max="22" width="14.0"/>
    <col customWidth="1" min="28" max="28" width="13.38"/>
    <col customWidth="1" min="30" max="30" width="15.0"/>
  </cols>
  <sheetData>
    <row r="1">
      <c r="A1" s="1"/>
      <c r="B1" s="2"/>
      <c r="E1" s="3"/>
      <c r="F1" s="4"/>
      <c r="G1" s="5"/>
      <c r="H1" s="6" t="s">
        <v>0</v>
      </c>
      <c r="I1" s="4"/>
      <c r="J1" s="7">
        <v>46197.0</v>
      </c>
      <c r="K1" s="8"/>
      <c r="L1" s="9"/>
      <c r="M1" s="9"/>
      <c r="N1" s="9"/>
      <c r="O1" s="9"/>
      <c r="P1" s="9"/>
      <c r="Q1" s="9"/>
      <c r="R1" s="10"/>
      <c r="S1" s="11"/>
      <c r="T1" s="10"/>
      <c r="U1" s="12"/>
      <c r="V1" s="13"/>
      <c r="W1" s="13"/>
      <c r="X1" s="14"/>
      <c r="Y1" s="14"/>
      <c r="Z1" s="14"/>
      <c r="AA1" s="14"/>
      <c r="AB1" s="14"/>
      <c r="AC1" s="9"/>
      <c r="AD1" s="9"/>
      <c r="AE1" s="9"/>
      <c r="AF1" s="9"/>
      <c r="AG1" s="9"/>
    </row>
    <row r="2">
      <c r="A2" s="1"/>
      <c r="E2" s="15" t="s">
        <v>1</v>
      </c>
      <c r="F2" s="4"/>
      <c r="G2" s="5"/>
      <c r="H2" s="6" t="s">
        <v>2</v>
      </c>
      <c r="I2" s="4"/>
      <c r="J2" s="7">
        <f>J1+30</f>
        <v>46227</v>
      </c>
      <c r="K2" s="8"/>
      <c r="L2" s="9"/>
      <c r="M2" s="9"/>
      <c r="N2" s="9"/>
      <c r="O2" s="9"/>
      <c r="P2" s="9"/>
      <c r="Q2" s="9"/>
      <c r="R2" s="10"/>
      <c r="S2" s="11"/>
      <c r="T2" s="10"/>
      <c r="U2" s="12"/>
      <c r="V2" s="13"/>
      <c r="W2" s="13"/>
      <c r="X2" s="14"/>
      <c r="Y2" s="14"/>
      <c r="Z2" s="14"/>
      <c r="AA2" s="14"/>
      <c r="AB2" s="14"/>
      <c r="AC2" s="9"/>
      <c r="AD2" s="9"/>
      <c r="AE2" s="9"/>
      <c r="AF2" s="9"/>
      <c r="AG2" s="9"/>
    </row>
    <row r="3">
      <c r="A3" s="1"/>
      <c r="E3" s="15" t="s">
        <v>3</v>
      </c>
      <c r="F3" s="4"/>
      <c r="G3" s="5"/>
      <c r="H3" s="6" t="s">
        <v>4</v>
      </c>
      <c r="I3" s="4"/>
      <c r="J3" s="16" t="s">
        <v>5</v>
      </c>
      <c r="K3" s="8"/>
      <c r="L3" s="9"/>
      <c r="M3" s="9"/>
      <c r="N3" s="9"/>
      <c r="O3" s="9"/>
      <c r="P3" s="9"/>
      <c r="Q3" s="9"/>
      <c r="R3" s="10"/>
      <c r="S3" s="11"/>
      <c r="T3" s="10"/>
      <c r="U3" s="12"/>
      <c r="V3" s="13"/>
      <c r="W3" s="13"/>
      <c r="X3" s="14"/>
      <c r="Y3" s="14"/>
      <c r="Z3" s="14"/>
      <c r="AA3" s="14"/>
      <c r="AB3" s="14"/>
      <c r="AC3" s="9"/>
      <c r="AD3" s="9"/>
      <c r="AE3" s="9"/>
      <c r="AF3" s="9"/>
      <c r="AG3" s="9"/>
    </row>
    <row r="4">
      <c r="A4" s="1"/>
      <c r="E4" s="15" t="s">
        <v>6</v>
      </c>
      <c r="F4" s="4"/>
      <c r="G4" s="17"/>
      <c r="H4" s="18"/>
      <c r="I4" s="4"/>
      <c r="J4" s="19"/>
      <c r="K4" s="8"/>
      <c r="L4" s="9"/>
      <c r="M4" s="9"/>
      <c r="N4" s="9"/>
      <c r="O4" s="9"/>
      <c r="P4" s="9"/>
      <c r="Q4" s="9"/>
      <c r="R4" s="10"/>
      <c r="S4" s="11"/>
      <c r="T4" s="10"/>
      <c r="U4" s="12"/>
      <c r="V4" s="13"/>
      <c r="W4" s="13"/>
      <c r="X4" s="14"/>
      <c r="Y4" s="14"/>
      <c r="Z4" s="14"/>
      <c r="AA4" s="14"/>
      <c r="AB4" s="14"/>
      <c r="AC4" s="9"/>
      <c r="AD4" s="9"/>
      <c r="AE4" s="9"/>
      <c r="AF4" s="9"/>
      <c r="AG4" s="9"/>
    </row>
    <row r="5">
      <c r="A5" s="1"/>
      <c r="B5" s="20"/>
      <c r="C5" s="20"/>
      <c r="D5" s="20"/>
      <c r="E5" s="21"/>
      <c r="F5" s="22"/>
      <c r="G5" s="22"/>
      <c r="H5" s="22"/>
      <c r="I5" s="23"/>
      <c r="J5" s="23"/>
      <c r="K5" s="8"/>
      <c r="L5" s="9"/>
      <c r="M5" s="9"/>
      <c r="N5" s="9"/>
      <c r="O5" s="9"/>
      <c r="P5" s="9"/>
      <c r="Q5" s="9"/>
      <c r="R5" s="10"/>
      <c r="S5" s="11"/>
      <c r="T5" s="10"/>
      <c r="U5" s="12"/>
      <c r="V5" s="13"/>
      <c r="W5" s="13"/>
      <c r="X5" s="14"/>
      <c r="Y5" s="14"/>
      <c r="Z5" s="14"/>
      <c r="AA5" s="14"/>
      <c r="AB5" s="14"/>
      <c r="AC5" s="9"/>
      <c r="AD5" s="9"/>
      <c r="AE5" s="9"/>
      <c r="AF5" s="9"/>
      <c r="AG5" s="9"/>
    </row>
    <row r="6">
      <c r="A6" s="1"/>
      <c r="B6" s="1"/>
      <c r="C6" s="1"/>
      <c r="D6" s="1"/>
      <c r="E6" s="9"/>
      <c r="F6" s="9"/>
      <c r="G6" s="9"/>
      <c r="H6" s="9"/>
      <c r="I6" s="24"/>
      <c r="J6" s="24"/>
      <c r="K6" s="8"/>
      <c r="L6" s="9"/>
      <c r="M6" s="9"/>
      <c r="N6" s="9"/>
      <c r="O6" s="9"/>
      <c r="P6" s="9"/>
      <c r="Q6" s="9"/>
      <c r="R6" s="10"/>
      <c r="S6" s="11"/>
      <c r="T6" s="10"/>
      <c r="U6" s="12"/>
      <c r="V6" s="13"/>
      <c r="W6" s="13"/>
      <c r="X6" s="14"/>
      <c r="Y6" s="14"/>
      <c r="Z6" s="14"/>
      <c r="AA6" s="14"/>
      <c r="AB6" s="14"/>
      <c r="AC6" s="9"/>
      <c r="AD6" s="9"/>
      <c r="AE6" s="25"/>
      <c r="AG6" s="9"/>
    </row>
    <row r="7">
      <c r="A7" s="26"/>
      <c r="B7" s="27"/>
      <c r="C7" s="27"/>
      <c r="D7" s="28"/>
      <c r="E7" s="29" t="s">
        <v>7</v>
      </c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30"/>
      <c r="S7" s="31"/>
      <c r="T7" s="30"/>
      <c r="U7" s="32" t="s">
        <v>8</v>
      </c>
      <c r="V7" s="27"/>
      <c r="W7" s="28"/>
      <c r="X7" s="33" t="s">
        <v>9</v>
      </c>
      <c r="Y7" s="27"/>
      <c r="Z7" s="27"/>
      <c r="AA7" s="27"/>
      <c r="AB7" s="28"/>
      <c r="AC7" s="34" t="s">
        <v>10</v>
      </c>
      <c r="AD7" s="27"/>
      <c r="AE7" s="27"/>
      <c r="AF7" s="27"/>
      <c r="AG7" s="28"/>
    </row>
    <row r="8">
      <c r="A8" s="35"/>
      <c r="B8" s="36"/>
      <c r="C8" s="36"/>
      <c r="D8" s="37"/>
      <c r="E8" s="35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8"/>
      <c r="S8" s="39"/>
      <c r="T8" s="38"/>
      <c r="U8" s="35"/>
      <c r="V8" s="36"/>
      <c r="W8" s="37"/>
      <c r="X8" s="40"/>
      <c r="Y8" s="41">
        <v>0.1</v>
      </c>
      <c r="Z8" s="41"/>
      <c r="AA8" s="42"/>
      <c r="AB8" s="43"/>
      <c r="AC8" s="44"/>
      <c r="AD8" s="44"/>
      <c r="AE8" s="45">
        <v>0.05</v>
      </c>
      <c r="AF8" s="44"/>
      <c r="AG8" s="46"/>
    </row>
    <row r="9" ht="22.5" customHeight="1">
      <c r="A9" s="47" t="s">
        <v>11</v>
      </c>
      <c r="B9" s="48" t="s">
        <v>12</v>
      </c>
      <c r="C9" s="47" t="s">
        <v>13</v>
      </c>
      <c r="D9" s="47" t="s">
        <v>14</v>
      </c>
      <c r="E9" s="49" t="s">
        <v>15</v>
      </c>
      <c r="F9" s="49" t="s">
        <v>16</v>
      </c>
      <c r="G9" s="50" t="s">
        <v>17</v>
      </c>
      <c r="H9" s="50" t="s">
        <v>18</v>
      </c>
      <c r="I9" s="51" t="s">
        <v>19</v>
      </c>
      <c r="J9" s="51" t="s">
        <v>20</v>
      </c>
      <c r="K9" s="52" t="s">
        <v>21</v>
      </c>
      <c r="L9" s="53" t="s">
        <v>22</v>
      </c>
      <c r="M9" s="53" t="s">
        <v>23</v>
      </c>
      <c r="N9" s="54" t="s">
        <v>24</v>
      </c>
      <c r="O9" s="54" t="s">
        <v>25</v>
      </c>
      <c r="P9" s="54" t="s">
        <v>26</v>
      </c>
      <c r="Q9" s="53" t="s">
        <v>27</v>
      </c>
      <c r="R9" s="55" t="s">
        <v>28</v>
      </c>
      <c r="S9" s="56" t="s">
        <v>29</v>
      </c>
      <c r="T9" s="55" t="s">
        <v>30</v>
      </c>
      <c r="U9" s="57" t="s">
        <v>31</v>
      </c>
      <c r="V9" s="50" t="s">
        <v>32</v>
      </c>
      <c r="W9" s="50" t="s">
        <v>33</v>
      </c>
      <c r="X9" s="56" t="s">
        <v>34</v>
      </c>
      <c r="Y9" s="56" t="s">
        <v>35</v>
      </c>
      <c r="Z9" s="56" t="s">
        <v>36</v>
      </c>
      <c r="AA9" s="56" t="s">
        <v>37</v>
      </c>
      <c r="AB9" s="56" t="s">
        <v>38</v>
      </c>
      <c r="AC9" s="53" t="s">
        <v>39</v>
      </c>
      <c r="AD9" s="53" t="s">
        <v>40</v>
      </c>
      <c r="AE9" s="53" t="s">
        <v>41</v>
      </c>
      <c r="AF9" s="53" t="s">
        <v>42</v>
      </c>
      <c r="AG9" s="53" t="s">
        <v>43</v>
      </c>
    </row>
    <row r="10" ht="22.5" customHeight="1">
      <c r="A10" s="58">
        <f t="shared" ref="A10:A11" si="1">IF(B10="","",ROW()-9)</f>
        <v>1</v>
      </c>
      <c r="B10" s="59" t="s">
        <v>44</v>
      </c>
      <c r="C10" s="59" t="s">
        <v>45</v>
      </c>
      <c r="D10" s="59" t="s">
        <v>45</v>
      </c>
      <c r="E10" s="60">
        <v>2.0</v>
      </c>
      <c r="F10" s="59" t="s">
        <v>46</v>
      </c>
      <c r="G10" s="60">
        <v>1.0</v>
      </c>
      <c r="H10" s="59" t="s">
        <v>47</v>
      </c>
      <c r="I10" s="61">
        <v>500000.0</v>
      </c>
      <c r="J10" s="62">
        <f t="shared" ref="J10:J11" si="2">E10*G10*I10</f>
        <v>1000000</v>
      </c>
      <c r="K10" s="63">
        <v>0.0</v>
      </c>
      <c r="L10" s="62">
        <f t="shared" ref="L10:L11" si="3">J10+J10*K10</f>
        <v>1000000</v>
      </c>
      <c r="M10" s="64" t="s">
        <v>48</v>
      </c>
      <c r="N10" s="62">
        <f t="shared" ref="N10:N11" si="4">SWITCH(M10, "Công ty", L10*8%, "Cty 10%", L10*10%, "Cá nhân", L10/9, "Internal", 0)</f>
        <v>111111.1111</v>
      </c>
      <c r="O10" s="65">
        <f t="shared" ref="O10:O11" si="5">IF(L10="",, IF(M10="Cá nhân", L10/0.9, L10))</f>
        <v>1111111.111</v>
      </c>
      <c r="P10" s="65">
        <f t="shared" ref="P10:P11" si="6">IF(L10="",, SWITCH(M10, "Công ty", L10*8%, "Cty 10%", L10*10%, 0))</f>
        <v>0</v>
      </c>
      <c r="Q10" s="62">
        <f t="shared" ref="Q10:Q11" si="7">L10+N10</f>
        <v>1111111.111</v>
      </c>
      <c r="R10" s="66"/>
      <c r="S10" s="67">
        <v>0.8</v>
      </c>
      <c r="T10" s="66"/>
      <c r="U10" s="65">
        <f t="shared" ref="U10:U11" si="8">IF(M10="Cá nhân", I10/0.9, I10)*(1+S10)</f>
        <v>1000000</v>
      </c>
      <c r="V10" s="62">
        <f t="shared" ref="V10:V11" si="9">U10*E10*G10</f>
        <v>2000000</v>
      </c>
      <c r="W10" s="58"/>
      <c r="X10" s="62">
        <f t="shared" ref="X10:X11" si="10">V10</f>
        <v>2000000</v>
      </c>
      <c r="Y10" s="61">
        <f t="shared" ref="Y10:Y11" si="11">X10*Y$8</f>
        <v>200000</v>
      </c>
      <c r="Z10" s="62">
        <f t="shared" ref="Z10:Z11" si="12">X10+Y10</f>
        <v>2200000</v>
      </c>
      <c r="AA10" s="62">
        <f t="shared" ref="AA10:AA11" si="13">Z10*8% </f>
        <v>176000</v>
      </c>
      <c r="AB10" s="62">
        <f t="shared" ref="AB10:AB11" si="14">Z10+AA10</f>
        <v>2376000</v>
      </c>
      <c r="AC10" s="62">
        <f t="shared" ref="AC10:AC11" si="15">Z10-O10</f>
        <v>1088888.889</v>
      </c>
      <c r="AD10" s="68">
        <f t="shared" ref="AD10:AD11" si="16">AC10/Z10</f>
        <v>0.4949494949</v>
      </c>
      <c r="AE10" s="61">
        <f t="shared" ref="AE10:AE11" si="17">Z10*AE$8</f>
        <v>110000</v>
      </c>
      <c r="AF10" s="62">
        <f t="shared" ref="AF10:AF11" si="18">AC10-AE10</f>
        <v>978888.8889</v>
      </c>
      <c r="AG10" s="69">
        <f t="shared" ref="AG10:AG11" si="19">AF10/Z10</f>
        <v>0.4449494949</v>
      </c>
    </row>
    <row r="11" ht="22.5" customHeight="1">
      <c r="A11" s="70" t="str">
        <f t="shared" si="1"/>
        <v/>
      </c>
      <c r="B11" s="71"/>
      <c r="C11" s="71"/>
      <c r="D11" s="71"/>
      <c r="E11" s="72">
        <v>1.0</v>
      </c>
      <c r="F11" s="71"/>
      <c r="G11" s="72">
        <v>1.0</v>
      </c>
      <c r="H11" s="71"/>
      <c r="I11" s="73">
        <v>2000000.0</v>
      </c>
      <c r="J11" s="73">
        <f t="shared" si="2"/>
        <v>2000000</v>
      </c>
      <c r="K11" s="74"/>
      <c r="L11" s="73">
        <f t="shared" si="3"/>
        <v>2000000</v>
      </c>
      <c r="M11" s="75" t="s">
        <v>49</v>
      </c>
      <c r="N11" s="73">
        <f t="shared" si="4"/>
        <v>160000</v>
      </c>
      <c r="O11" s="73">
        <f t="shared" si="5"/>
        <v>2000000</v>
      </c>
      <c r="P11" s="73">
        <f t="shared" si="6"/>
        <v>160000</v>
      </c>
      <c r="Q11" s="73">
        <f t="shared" si="7"/>
        <v>2160000</v>
      </c>
      <c r="R11" s="71"/>
      <c r="S11" s="76">
        <v>0.5</v>
      </c>
      <c r="T11" s="71"/>
      <c r="U11" s="73">
        <f t="shared" si="8"/>
        <v>3000000</v>
      </c>
      <c r="V11" s="73">
        <f t="shared" si="9"/>
        <v>3000000</v>
      </c>
      <c r="W11" s="70"/>
      <c r="X11" s="73">
        <f t="shared" si="10"/>
        <v>3000000</v>
      </c>
      <c r="Y11" s="73">
        <f t="shared" si="11"/>
        <v>300000</v>
      </c>
      <c r="Z11" s="73">
        <f t="shared" si="12"/>
        <v>3300000</v>
      </c>
      <c r="AA11" s="73">
        <f t="shared" si="13"/>
        <v>264000</v>
      </c>
      <c r="AB11" s="73">
        <f t="shared" si="14"/>
        <v>3564000</v>
      </c>
      <c r="AC11" s="73">
        <f t="shared" si="15"/>
        <v>1300000</v>
      </c>
      <c r="AD11" s="76">
        <f t="shared" si="16"/>
        <v>0.3939393939</v>
      </c>
      <c r="AE11" s="73">
        <f t="shared" si="17"/>
        <v>165000</v>
      </c>
      <c r="AF11" s="73">
        <f t="shared" si="18"/>
        <v>1135000</v>
      </c>
      <c r="AG11" s="76">
        <f t="shared" si="19"/>
        <v>0.3439393939</v>
      </c>
    </row>
    <row r="12" ht="22.5" customHeight="1">
      <c r="A12" s="77"/>
      <c r="B12" s="78"/>
      <c r="C12" s="78"/>
      <c r="D12" s="78"/>
      <c r="E12" s="79"/>
      <c r="F12" s="78"/>
      <c r="G12" s="79"/>
      <c r="H12" s="78"/>
      <c r="I12" s="80"/>
      <c r="J12" s="80"/>
      <c r="K12" s="81"/>
      <c r="L12" s="80"/>
      <c r="M12" s="82"/>
      <c r="N12" s="80"/>
      <c r="O12" s="80"/>
      <c r="P12" s="80"/>
      <c r="Q12" s="80"/>
      <c r="R12" s="78"/>
      <c r="S12" s="83"/>
      <c r="T12" s="78"/>
      <c r="U12" s="80"/>
      <c r="V12" s="80"/>
      <c r="W12" s="77"/>
      <c r="X12" s="80"/>
      <c r="Y12" s="80"/>
      <c r="Z12" s="80"/>
      <c r="AA12" s="80"/>
      <c r="AB12" s="80"/>
      <c r="AC12" s="80"/>
      <c r="AD12" s="83"/>
      <c r="AE12" s="80"/>
      <c r="AF12" s="80"/>
      <c r="AG12" s="83"/>
    </row>
    <row r="13">
      <c r="A13" s="84"/>
      <c r="B13" s="84"/>
      <c r="C13" s="84"/>
      <c r="D13" s="84"/>
      <c r="E13" s="84"/>
      <c r="F13" s="84"/>
      <c r="G13" s="84"/>
      <c r="H13" s="84"/>
      <c r="I13" s="85"/>
      <c r="J13" s="85"/>
      <c r="K13" s="86"/>
      <c r="L13" s="84"/>
      <c r="M13" s="84"/>
      <c r="N13" s="84"/>
      <c r="O13" s="84"/>
      <c r="P13" s="84"/>
      <c r="Q13" s="84"/>
      <c r="R13" s="87"/>
      <c r="S13" s="88"/>
      <c r="T13" s="89"/>
      <c r="U13" s="85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</row>
    <row r="14">
      <c r="A14" s="84"/>
      <c r="B14" s="84"/>
      <c r="C14" s="84"/>
      <c r="D14" s="84"/>
      <c r="E14" s="84"/>
      <c r="F14" s="84"/>
      <c r="G14" s="84"/>
      <c r="H14" s="84"/>
      <c r="I14" s="85"/>
      <c r="J14" s="85"/>
      <c r="K14" s="86"/>
      <c r="L14" s="84"/>
      <c r="M14" s="84"/>
      <c r="N14" s="84"/>
      <c r="O14" s="84"/>
      <c r="P14" s="84"/>
      <c r="Q14" s="84"/>
      <c r="R14" s="87"/>
      <c r="S14" s="88"/>
      <c r="T14" s="89"/>
      <c r="U14" s="85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>
      <c r="A15" s="84"/>
      <c r="B15" s="84"/>
      <c r="C15" s="84"/>
      <c r="D15" s="84"/>
      <c r="E15" s="84"/>
      <c r="F15" s="84"/>
      <c r="G15" s="84"/>
      <c r="H15" s="84"/>
      <c r="I15" s="85"/>
      <c r="J15" s="85"/>
      <c r="K15" s="86"/>
      <c r="L15" s="84"/>
      <c r="M15" s="84"/>
      <c r="N15" s="84"/>
      <c r="O15" s="84"/>
      <c r="P15" s="84"/>
      <c r="Q15" s="84"/>
      <c r="R15" s="87"/>
      <c r="S15" s="88"/>
      <c r="T15" s="89"/>
      <c r="U15" s="85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ht="20.25" customHeight="1">
      <c r="A16" s="84"/>
      <c r="B16" s="90" t="s">
        <v>50</v>
      </c>
      <c r="C16" s="4"/>
      <c r="D16" s="84"/>
      <c r="E16" s="90" t="s">
        <v>7</v>
      </c>
      <c r="F16" s="18"/>
      <c r="G16" s="4"/>
      <c r="H16" s="84"/>
      <c r="I16" s="85"/>
      <c r="J16" s="85"/>
      <c r="K16" s="86"/>
      <c r="L16" s="84"/>
      <c r="M16" s="84"/>
      <c r="N16" s="84"/>
      <c r="O16" s="84"/>
      <c r="P16" s="84"/>
      <c r="Q16" s="84"/>
      <c r="R16" s="87"/>
      <c r="S16" s="88"/>
      <c r="T16" s="89"/>
      <c r="U16" s="85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>
      <c r="A17" s="84"/>
      <c r="B17" s="91" t="s">
        <v>51</v>
      </c>
      <c r="C17" s="92">
        <f>SUM(X10:X26)</f>
        <v>5000000</v>
      </c>
      <c r="D17" s="84"/>
      <c r="E17" s="93" t="s">
        <v>52</v>
      </c>
      <c r="F17" s="4"/>
      <c r="G17" s="92">
        <f>C17+C18</f>
        <v>5500000</v>
      </c>
      <c r="H17" s="84"/>
      <c r="I17" s="85"/>
      <c r="J17" s="85"/>
      <c r="K17" s="86"/>
      <c r="L17" s="84"/>
      <c r="M17" s="84"/>
      <c r="N17" s="84"/>
      <c r="O17" s="84"/>
      <c r="P17" s="84"/>
      <c r="Q17" s="84"/>
      <c r="R17" s="87"/>
      <c r="S17" s="88"/>
      <c r="T17" s="89"/>
      <c r="U17" s="85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>
      <c r="A18" s="84"/>
      <c r="B18" s="94" t="str">
        <f>CONCAT("Management Fee ", TEXT($Y8,"00%"))</f>
        <v>Management Fee 10%</v>
      </c>
      <c r="C18" s="92">
        <f>C17*Y$8</f>
        <v>500000</v>
      </c>
      <c r="D18" s="84"/>
      <c r="E18" s="93" t="s">
        <v>25</v>
      </c>
      <c r="F18" s="4"/>
      <c r="G18" s="92">
        <f>-SUM(O10:O26)</f>
        <v>-3111111.111</v>
      </c>
      <c r="H18" s="84"/>
      <c r="L18" s="84"/>
      <c r="M18" s="84"/>
      <c r="N18" s="84"/>
      <c r="O18" s="84"/>
      <c r="P18" s="84"/>
      <c r="Q18" s="84"/>
      <c r="R18" s="87"/>
      <c r="S18" s="88"/>
      <c r="T18" s="89"/>
      <c r="U18" s="85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</row>
    <row r="19">
      <c r="A19" s="84"/>
      <c r="B19" s="91" t="s">
        <v>53</v>
      </c>
      <c r="C19" s="92">
        <f>(C17+C18)*8% </f>
        <v>440000</v>
      </c>
      <c r="D19" s="84"/>
      <c r="E19" s="95" t="str">
        <f>CONCAT("Commission Fee ", TEXT($AE8,"0%"))</f>
        <v>Commission Fee 5%</v>
      </c>
      <c r="F19" s="4"/>
      <c r="G19" s="96">
        <f>-SUM(AE10:AE26)</f>
        <v>-275000</v>
      </c>
      <c r="H19" s="84"/>
      <c r="I19" s="85"/>
      <c r="J19" s="85"/>
      <c r="K19" s="86"/>
      <c r="L19" s="84"/>
      <c r="M19" s="84"/>
      <c r="N19" s="84"/>
      <c r="O19" s="84"/>
      <c r="P19" s="84"/>
      <c r="Q19" s="84"/>
      <c r="R19" s="87"/>
      <c r="S19" s="88"/>
      <c r="T19" s="89"/>
      <c r="U19" s="85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</row>
    <row r="20">
      <c r="A20" s="84"/>
      <c r="B20" s="91" t="s">
        <v>54</v>
      </c>
      <c r="C20" s="92">
        <f>SUM(C17:C19)</f>
        <v>5940000</v>
      </c>
      <c r="D20" s="84"/>
      <c r="E20" s="97" t="s">
        <v>55</v>
      </c>
      <c r="F20" s="4"/>
      <c r="G20" s="96">
        <f>SUM(G17:G19)</f>
        <v>2113888.889</v>
      </c>
      <c r="H20" s="98">
        <f>AVERAGE(AG10:AG26)</f>
        <v>0.3944444444</v>
      </c>
      <c r="I20" s="85"/>
      <c r="J20" s="85"/>
      <c r="K20" s="86"/>
      <c r="L20" s="84"/>
      <c r="M20" s="84"/>
      <c r="N20" s="84"/>
      <c r="O20" s="84"/>
      <c r="P20" s="84"/>
      <c r="Q20" s="84"/>
      <c r="R20" s="87"/>
      <c r="S20" s="88"/>
      <c r="T20" s="89"/>
      <c r="U20" s="85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</row>
    <row r="21">
      <c r="A21" s="84"/>
      <c r="B21" s="84"/>
      <c r="C21" s="84"/>
      <c r="D21" s="84"/>
      <c r="E21" s="93" t="s">
        <v>56</v>
      </c>
      <c r="F21" s="4"/>
      <c r="G21" s="92">
        <f>G20*20% </f>
        <v>422777.7778</v>
      </c>
      <c r="I21" s="85"/>
      <c r="J21" s="85"/>
      <c r="K21" s="86"/>
      <c r="L21" s="84"/>
      <c r="M21" s="84"/>
      <c r="N21" s="84"/>
      <c r="O21" s="84"/>
      <c r="P21" s="84"/>
      <c r="Q21" s="84"/>
      <c r="R21" s="87"/>
      <c r="S21" s="88"/>
      <c r="T21" s="89"/>
      <c r="U21" s="85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>
      <c r="A22" s="84"/>
      <c r="B22" s="84"/>
      <c r="C22" s="84"/>
      <c r="D22" s="84"/>
      <c r="E22" s="93" t="s">
        <v>57</v>
      </c>
      <c r="F22" s="4"/>
      <c r="G22" s="92">
        <f>G20-G21</f>
        <v>1691111.111</v>
      </c>
      <c r="H22" s="84"/>
      <c r="I22" s="85"/>
      <c r="J22" s="85"/>
      <c r="K22" s="86"/>
      <c r="L22" s="84"/>
      <c r="M22" s="84"/>
      <c r="N22" s="84"/>
      <c r="O22" s="84"/>
      <c r="P22" s="84"/>
      <c r="Q22" s="84"/>
      <c r="R22" s="87"/>
      <c r="S22" s="88"/>
      <c r="T22" s="89"/>
      <c r="U22" s="85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</row>
    <row r="23">
      <c r="A23" s="84"/>
      <c r="B23" s="84"/>
      <c r="C23" s="84"/>
      <c r="D23" s="84"/>
      <c r="E23" s="93" t="s">
        <v>58</v>
      </c>
      <c r="F23" s="4"/>
      <c r="G23" s="92">
        <f> C19- SUM(Table1[VAT Đầu vào])</f>
        <v>280000</v>
      </c>
      <c r="H23" s="84"/>
      <c r="I23" s="85"/>
      <c r="J23" s="85"/>
      <c r="K23" s="86"/>
      <c r="L23" s="84"/>
      <c r="M23" s="84"/>
      <c r="N23" s="84"/>
      <c r="O23" s="84"/>
      <c r="P23" s="84"/>
      <c r="Q23" s="84"/>
      <c r="R23" s="87"/>
      <c r="S23" s="88"/>
      <c r="T23" s="89"/>
      <c r="U23" s="85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</row>
    <row r="24">
      <c r="A24" s="84"/>
      <c r="B24" s="84"/>
      <c r="C24" s="84"/>
      <c r="D24" s="84"/>
      <c r="H24" s="84"/>
      <c r="I24" s="85"/>
      <c r="J24" s="85"/>
      <c r="K24" s="86"/>
      <c r="L24" s="84"/>
      <c r="M24" s="84"/>
      <c r="N24" s="84"/>
      <c r="O24" s="84"/>
      <c r="P24" s="84"/>
      <c r="Q24" s="84"/>
      <c r="R24" s="87"/>
      <c r="S24" s="88"/>
      <c r="T24" s="89"/>
      <c r="U24" s="85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>
      <c r="A25" s="84"/>
      <c r="B25" s="84"/>
      <c r="C25" s="84"/>
      <c r="D25" s="84"/>
      <c r="E25" s="99"/>
      <c r="F25" s="84"/>
      <c r="G25" s="84"/>
      <c r="H25" s="84"/>
      <c r="I25" s="85"/>
      <c r="J25" s="85"/>
      <c r="K25" s="86"/>
      <c r="L25" s="84"/>
      <c r="M25" s="84"/>
      <c r="N25" s="84"/>
      <c r="O25" s="84"/>
      <c r="P25" s="84"/>
      <c r="Q25" s="84"/>
      <c r="R25" s="87"/>
      <c r="S25" s="88"/>
      <c r="T25" s="89"/>
      <c r="U25" s="85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</row>
    <row r="26">
      <c r="A26" s="84"/>
      <c r="B26" s="84"/>
      <c r="C26" s="84"/>
      <c r="D26" s="84"/>
      <c r="E26" s="99"/>
      <c r="F26" s="84"/>
      <c r="G26" s="84"/>
      <c r="H26" s="84"/>
      <c r="I26" s="85"/>
      <c r="J26" s="85"/>
      <c r="K26" s="86"/>
      <c r="L26" s="84"/>
      <c r="M26" s="84"/>
      <c r="N26" s="84"/>
      <c r="O26" s="84"/>
      <c r="P26" s="84"/>
      <c r="Q26" s="84"/>
      <c r="R26" s="87"/>
      <c r="S26" s="88"/>
      <c r="T26" s="89"/>
      <c r="U26" s="85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</sheetData>
  <mergeCells count="24">
    <mergeCell ref="E4:F4"/>
    <mergeCell ref="G4:I4"/>
    <mergeCell ref="E7:Q8"/>
    <mergeCell ref="S7:S8"/>
    <mergeCell ref="U7:W8"/>
    <mergeCell ref="X7:AB7"/>
    <mergeCell ref="AC7:AG7"/>
    <mergeCell ref="B1:D5"/>
    <mergeCell ref="E1:F1"/>
    <mergeCell ref="H1:I1"/>
    <mergeCell ref="E2:F2"/>
    <mergeCell ref="H2:I2"/>
    <mergeCell ref="E3:F3"/>
    <mergeCell ref="H3:I3"/>
    <mergeCell ref="E21:F21"/>
    <mergeCell ref="E22:F22"/>
    <mergeCell ref="E23:F23"/>
    <mergeCell ref="A7:D8"/>
    <mergeCell ref="B16:C16"/>
    <mergeCell ref="E16:G16"/>
    <mergeCell ref="E17:F17"/>
    <mergeCell ref="E18:F18"/>
    <mergeCell ref="E19:F19"/>
    <mergeCell ref="E20:F20"/>
  </mergeCells>
  <conditionalFormatting sqref="H20">
    <cfRule type="cellIs" dxfId="5" priority="1" operator="lessThan">
      <formula>"30%"</formula>
    </cfRule>
  </conditionalFormatting>
  <conditionalFormatting sqref="H20">
    <cfRule type="cellIs" dxfId="6" priority="2" operator="greaterThan">
      <formula>"30%"</formula>
    </cfRule>
  </conditionalFormatting>
  <dataValidations>
    <dataValidation type="list" allowBlank="1" sqref="M10:M12">
      <formula1>"Công Ty,Cá nhân,Internal"</formula1>
    </dataValidation>
    <dataValidation type="custom" allowBlank="1" showDropDown="1" sqref="E10:E12 G10:G12 I10:L12 Q10:Q12 S10:S12 U10:V12 Y10:Y12 AA10:AA12 AD10:AG12">
      <formula1>AND(ISNUMBER(E10),(NOT(OR(NOT(ISERROR(DATEVALUE(E10))), AND(ISNUMBER(E10), LEFT(CELL("format", E10))="D")))))</formula1>
    </dataValidation>
    <dataValidation type="list" allowBlank="1" sqref="M11">
      <formula1>"Công Ty,Cá nhân,Internal"</formula1>
    </dataValidation>
  </dataValidations>
  <drawing r:id="rId2"/>
  <legacyDrawing r:id="rId3"/>
  <tableParts count="1">
    <tablePart r:id="rId5"/>
  </tableParts>
</worksheet>
</file>